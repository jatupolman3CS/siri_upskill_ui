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tup\Downloads\"/>
    </mc:Choice>
  </mc:AlternateContent>
  <xr:revisionPtr revIDLastSave="0" documentId="13_ncr:1_{E8120817-D1E4-4923-A72E-F88D8E8C77F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ummary" sheetId="3" r:id="rId1"/>
    <sheet name="Platform Requirements" sheetId="1" r:id="rId2"/>
    <sheet name="Branding Options" sheetId="2" r:id="rId3"/>
  </sheets>
  <definedNames>
    <definedName name="_xlnm._FilterDatabase" localSheetId="1" hidden="1">'Platform Requirements'!$A$1:$E$41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1" i="3"/>
  <c r="D10" i="3"/>
  <c r="D9" i="3"/>
  <c r="D8" i="3"/>
  <c r="D7" i="3"/>
  <c r="D6" i="3"/>
  <c r="D5" i="3"/>
  <c r="D13" i="3" s="1"/>
  <c r="B19" i="3"/>
  <c r="B18" i="3"/>
  <c r="B17" i="3"/>
  <c r="D4" i="3"/>
  <c r="C12" i="3"/>
  <c r="B12" i="3"/>
  <c r="C11" i="3"/>
  <c r="B11" i="3"/>
  <c r="C10" i="3"/>
  <c r="B10" i="3"/>
  <c r="C9" i="3"/>
  <c r="B9" i="3"/>
  <c r="C8" i="3"/>
  <c r="B8" i="3"/>
  <c r="C7" i="3"/>
  <c r="B7" i="3"/>
  <c r="B13" i="3" s="1"/>
  <c r="C6" i="3"/>
  <c r="C13" i="3" s="1"/>
  <c r="B6" i="3"/>
  <c r="C5" i="3"/>
  <c r="B5" i="3"/>
  <c r="C4" i="3"/>
  <c r="B4" i="3"/>
  <c r="E16" i="1"/>
  <c r="E15" i="1"/>
  <c r="E14" i="1"/>
  <c r="E13" i="1"/>
  <c r="E12" i="1"/>
  <c r="E11" i="1"/>
  <c r="E10" i="1"/>
  <c r="E9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<sst xmlns="http://schemas.openxmlformats.org/spreadsheetml/2006/main" count="195" uniqueCount="112">
  <si>
    <t>Category</t>
  </si>
  <si>
    <t>Feature / Topic</t>
  </si>
  <si>
    <t>Description</t>
  </si>
  <si>
    <t>Priority / Type</t>
  </si>
  <si>
    <t>Learner Experience</t>
  </si>
  <si>
    <t>Smart Search &amp; Deep Categorization</t>
  </si>
  <si>
    <t>Search system with filters (category, difficulty, price, rating) and Mega Menu for easy navigation.</t>
  </si>
  <si>
    <t>Must-Have</t>
  </si>
  <si>
    <t>Course Detail &amp; Syllabus Preview</t>
  </si>
  <si>
    <t>Clear course structure showing episodes, duration, free previews, and learning outcomes.</t>
  </si>
  <si>
    <t>Advanced Video Player</t>
  </si>
  <si>
    <t>Netflix-like player: adjustable speed (0.5x-2.0x), resume playback, and auto-resolution based on bandwidth.</t>
  </si>
  <si>
    <t>Interactive Learning per Episode</t>
  </si>
  <si>
    <t>Support for various content types per episode: video, attachments (PDF/Code), end-of-lesson quizzes, and assignments.</t>
  </si>
  <si>
    <t>Progress Tracking &amp; Gamification</t>
  </si>
  <si>
    <t>Visual progress bar and automated Certificate of Completion upon finishing the course.</t>
  </si>
  <si>
    <t>Nice-to-Have</t>
  </si>
  <si>
    <t>Seamless Checkout &amp; Payment</t>
  </si>
  <si>
    <t>Support multiple payment methods: QR PromptPay, Credit Card, and Installments for high-ticket courses.</t>
  </si>
  <si>
    <t>Q&amp;A &amp; Community</t>
  </si>
  <si>
    <t>Discussion board or comment section under each episode for direct interaction with instructors.</t>
  </si>
  <si>
    <t>Instructor Dashboard</t>
  </si>
  <si>
    <t>Drag-and-Drop Course Builder</t>
  </si>
  <si>
    <t>Backend builder for instructors to upload videos, organize episodes, reorder, and set free/paid segments easily.</t>
  </si>
  <si>
    <t>Instructor Analytics</t>
  </si>
  <si>
    <t>Dashboard showing sales, student count, and drop-off points (episodes where students stop learning).</t>
  </si>
  <si>
    <t>Announcement System</t>
  </si>
  <si>
    <t>System to send notifications or emails to enrolled students about course updates.</t>
  </si>
  <si>
    <t>Admin &amp; Management</t>
  </si>
  <si>
    <t>Dynamic CMS</t>
  </si>
  <si>
    <t>System to manage homepage banners, menus, and SEO blogs/articles without code changes.</t>
  </si>
  <si>
    <t>Marketing &amp; Promotion Engine</t>
  </si>
  <si>
    <t>Tools for creating Promo Codes, Flash Sales, or Course Bundles (e.g., buy 3 get discount).</t>
  </si>
  <si>
    <t>Revenue Split System</t>
  </si>
  <si>
    <t>Automated revenue calculation and splitting between platform and instructors (e.g., 70/30).</t>
  </si>
  <si>
    <t>Security &amp; Anti-Piracy</t>
  </si>
  <si>
    <t>Video DRM (Digital Rights Management)</t>
  </si>
  <si>
    <t>System to prevent video downloading via third-party tools (IDM, extensions).</t>
  </si>
  <si>
    <t>Dynamic Watermark</t>
  </si>
  <si>
    <t>Floating watermark showing learner's User/Email to deter screen recording.</t>
  </si>
  <si>
    <t>Concurrent Login Control</t>
  </si>
  <si>
    <t>Prevent account sharing (e.g., restrict simultaneous logins to max 2 devices).</t>
  </si>
  <si>
    <t>Skill &amp; Improvement Focus</t>
  </si>
  <si>
    <t>Academy &amp; Education Focus</t>
  </si>
  <si>
    <t>Catchy &amp; Modern Focus</t>
  </si>
  <si>
    <t>Premium &amp; Exclusive Focus</t>
  </si>
  <si>
    <t>Account &amp; Access</t>
  </si>
  <si>
    <t>Authentication &amp; Social Login</t>
  </si>
  <si>
    <t>Register/login with email plus Social Login (Google, Facebook, LINE), password reset, and profile management.</t>
  </si>
  <si>
    <t>User Roles &amp; Permissions</t>
  </si>
  <si>
    <t>Role-based access control (Admin / Instructor / Learner) and course approval workflow before publishing.</t>
  </si>
  <si>
    <t>Review &amp; Rating System</t>
  </si>
  <si>
    <t>Learners rate and review courses after enrollment; ratings feed search filters and build course credibility. (Benchmark: Udemy)</t>
  </si>
  <si>
    <t>Wishlist &amp; Shopping Cart</t>
  </si>
  <si>
    <t>Save courses for later and purchase multiple courses in a single checkout. (Benchmark: Udemy)</t>
  </si>
  <si>
    <t>Learner Notification System</t>
  </si>
  <si>
    <t>Email / LINE / push notifications for new lessons, promotions, and learning reminders to reduce drop-off.</t>
  </si>
  <si>
    <t>Multi-language Subtitles</t>
  </si>
  <si>
    <t>Thai/English subtitles and closed captions on course videos. (Benchmark: Udemy)</t>
  </si>
  <si>
    <t>Offline Download (Mobile App)</t>
  </si>
  <si>
    <t>Download lessons for offline viewing in the mobile app with DRM protection. (Benchmark: Udemy)</t>
  </si>
  <si>
    <t>Learning Path / Skill Track</t>
  </si>
  <si>
    <t>Curated course bundles by career path with a step-by-step roadmap and track-level certificate. (Benchmark: FutureSkill)</t>
  </si>
  <si>
    <t>Live Session &amp; Webinar</t>
  </si>
  <si>
    <t>Live workshops/webinars with chat and recording playback for enrolled learners. (Benchmark: FutureSkill)</t>
  </si>
  <si>
    <t>Certificate Verification</t>
  </si>
  <si>
    <t>QR code / public link to verify certificate authenticity for employers.</t>
  </si>
  <si>
    <t>AI &amp; Personalization</t>
  </si>
  <si>
    <t>AI Learning Assistant</t>
  </si>
  <si>
    <t>AI chatbot tutor that answers learner questions about lesson content 24/7. (Benchmark: Claude AI)</t>
  </si>
  <si>
    <t>AI Course Recommendations</t>
  </si>
  <si>
    <t>Personalized course recommendations based on learning behavior and interests. (Benchmark: Udemy)</t>
  </si>
  <si>
    <t>AI Quiz &amp; Summary Generator</t>
  </si>
  <si>
    <t>Auto-generate quizzes and lesson summaries from video content to reduce instructor workload. (Benchmark: Claude AI)</t>
  </si>
  <si>
    <t>AI Semantic Search</t>
  </si>
  <si>
    <t>Natural-language search that understands intent beyond keyword matching. (Benchmark: Claude AI)</t>
  </si>
  <si>
    <t>Payment &amp; Finance</t>
  </si>
  <si>
    <t>e-Tax Invoice &amp; Receipt</t>
  </si>
  <si>
    <t>Auto-issue receipts and e-Tax invoices after successful payment (Thai Revenue Department compliant).</t>
  </si>
  <si>
    <t>Refund &amp; Cancellation</t>
  </si>
  <si>
    <t>Refund policy and workflow, e.g., money-back guarantee within a defined period. (Benchmark: Udemy 30-day refund)</t>
  </si>
  <si>
    <t>Subscription Model</t>
  </si>
  <si>
    <t>Monthly/annual all-you-can-learn subscription alongside one-time course purchase. (Benchmark: FutureSkill)</t>
  </si>
  <si>
    <t>Admin Financial Reports</t>
  </si>
  <si>
    <t>Sales, tax, and instructor payout reports for admin, exportable to Excel/PDF.</t>
  </si>
  <si>
    <t>Business Model</t>
  </si>
  <si>
    <t>B2B / Corporate Packages</t>
  </si>
  <si>
    <t>Team licenses and corporate dashboards for organization-wide training. (Benchmark: Udemy Business, FutureSkill for Business)</t>
  </si>
  <si>
    <t>Affiliate &amp; Referral Program</t>
  </si>
  <si>
    <t>Commission-based referral links for promoters and existing learners. (Benchmark: Udemy)</t>
  </si>
  <si>
    <t>Compliance &amp; Non-Functional</t>
  </si>
  <si>
    <t>PDPA Compliance</t>
  </si>
  <si>
    <t>Consent management, privacy policy, and data deletion requests per Thai PDPA.</t>
  </si>
  <si>
    <t>Mobile Responsive / Mobile App</t>
  </si>
  <si>
    <t>Fully responsive web plus iOS/Android apps for learning on any device. (Benchmark: Udemy)</t>
  </si>
  <si>
    <t>Performance &amp; Scalability</t>
  </si>
  <si>
    <t>CDN-based video streaming, defined concurrent-user targets, and uptime SLA &gt;= 99.9%.</t>
  </si>
  <si>
    <t>Backup &amp; Disaster Recovery</t>
  </si>
  <si>
    <t>Automated daily backups and documented recovery plan (RTO/RPO).</t>
  </si>
  <si>
    <t>Phase</t>
  </si>
  <si>
    <t>Focus Group</t>
  </si>
  <si>
    <t>Name Candidates</t>
  </si>
  <si>
    <t>SiriSkill, Siri UpSkill, Siri Forward, Siri Mastery</t>
  </si>
  <si>
    <t>Siri Academy, Siri Campus, SiriLearn, Siri EdSpace</t>
  </si>
  <si>
    <t>Siri Class, Siri Hub, Siri X, Siri Brain</t>
  </si>
  <si>
    <t>Siri Masterclass, Siri Elite</t>
  </si>
  <si>
    <t>SIRI E-Learning Platform — Requirements Summary</t>
  </si>
  <si>
    <t>Total</t>
  </si>
  <si>
    <t>Development Phase</t>
  </si>
  <si>
    <t>Items</t>
  </si>
  <si>
    <t>MVP</t>
  </si>
  <si>
    <t>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</si>
</sst>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Segoe UI"/>
    </font>
    <font>
      <sz val="11"/>
      <name val="Segoe UI"/>
    </font>
    <font>
      <b/>
      <sz val="11"/>
      <color theme="1"/>
      <name val="Calibri"/>
      <family val="2"/>
      <scheme val="minor"/>
    </font>
    <font>
      <sz val="11"/>
      <color theme="1"/>
      <name val="Segoe UI"/>
    </font>
    <font>
      <b/>
      <sz val="14"/>
      <color rgb="FF2C3E50"/>
      <name val="Segoe UI"/>
    </font>
    <font>
      <sz val="11"/>
      <color rgb="FF008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2C3E5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3CF"/>
        <bgColor indexed="6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0" borderId="1" xfId="0" applyFont="1" applyBorder="1"/>
    <xf numFmtId="0" fontId="2" fillId="4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5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DFDA2F-BD72-440B-9B4F-4F06FEADFBF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ca0adff-811d-4ed3-a2b8-49688c1bf99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AA21-5453-475F-9B7C-08D94D440529}">
  <dimension ref="A1:D19"/>
  <sheetViews>
    <sheetView tabSelected="1" workbookViewId="0"/>
  </sheetViews>
  <sheetFormatPr defaultRowHeight="14.25" x14ac:dyDescent="0.45"/>
  <cols>
    <col min="1" max="1" width="35.53125" customWidth="1"/>
    <col min="2" max="4" width="16" customWidth="1"/>
  </cols>
  <sheetData>
    <row r="1" spans="1:4" ht="20.25" x14ac:dyDescent="0.7">
      <c r="A1" s="11" t="s">
        <v>106</v>
      </c>
    </row>
    <row r="3" spans="1:4" ht="18.75" x14ac:dyDescent="0.7">
      <c r="A3" s="3" t="s">
        <v>0</v>
      </c>
      <c r="B3" s="3" t="s">
        <v>7</v>
      </c>
      <c r="C3" s="3" t="s">
        <v>16</v>
      </c>
      <c r="D3" s="3" t="s">
        <v>107</v>
      </c>
    </row>
    <row r="4" spans="1:4" x14ac:dyDescent="0.45">
      <c r="A4" s="12" t="s">
        <v>4</v>
      </c>
      <c r="B4" s="13">
        <f>COUNTIFS('Platform Requirements'!$A$2:$A$41,$A4,'Platform Requirements'!$D$2:$D$41,B$3)</f>
        <v>6</v>
      </c>
      <c r="C4" s="13">
        <f>COUNTIFS('Platform Requirements'!$A$2:$A$41,$A4,'Platform Requirements'!$D$2:$D$41,C$3)</f>
        <v>9</v>
      </c>
      <c r="D4" s="14">
        <f>SUM(B4:C4)</f>
        <v>15</v>
      </c>
    </row>
    <row r="5" spans="1:4" x14ac:dyDescent="0.45">
      <c r="A5" s="12" t="s">
        <v>21</v>
      </c>
      <c r="B5" s="13">
        <f>COUNTIFS('Platform Requirements'!$A$2:$A$41,$A5,'Platform Requirements'!$D$2:$D$41,B$3)</f>
        <v>1</v>
      </c>
      <c r="C5" s="13">
        <f>COUNTIFS('Platform Requirements'!$A$2:$A$41,$A5,'Platform Requirements'!$D$2:$D$41,C$3)</f>
        <v>2</v>
      </c>
      <c r="D5" s="14">
        <f t="shared" ref="D5:D12" si="0">SUM(B5:C5)</f>
        <v>3</v>
      </c>
    </row>
    <row r="6" spans="1:4" x14ac:dyDescent="0.45">
      <c r="A6" s="12" t="s">
        <v>28</v>
      </c>
      <c r="B6" s="13">
        <f>COUNTIFS('Platform Requirements'!$A$2:$A$41,$A6,'Platform Requirements'!$D$2:$D$41,B$3)</f>
        <v>2</v>
      </c>
      <c r="C6" s="13">
        <f>COUNTIFS('Platform Requirements'!$A$2:$A$41,$A6,'Platform Requirements'!$D$2:$D$41,C$3)</f>
        <v>1</v>
      </c>
      <c r="D6" s="14">
        <f t="shared" si="0"/>
        <v>3</v>
      </c>
    </row>
    <row r="7" spans="1:4" x14ac:dyDescent="0.45">
      <c r="A7" s="12" t="s">
        <v>35</v>
      </c>
      <c r="B7" s="13">
        <f>COUNTIFS('Platform Requirements'!$A$2:$A$41,$A7,'Platform Requirements'!$D$2:$D$41,B$3)</f>
        <v>3</v>
      </c>
      <c r="C7" s="13">
        <f>COUNTIFS('Platform Requirements'!$A$2:$A$41,$A7,'Platform Requirements'!$D$2:$D$41,C$3)</f>
        <v>0</v>
      </c>
      <c r="D7" s="14">
        <f t="shared" si="0"/>
        <v>3</v>
      </c>
    </row>
    <row r="8" spans="1:4" x14ac:dyDescent="0.45">
      <c r="A8" s="12" t="s">
        <v>46</v>
      </c>
      <c r="B8" s="13">
        <f>COUNTIFS('Platform Requirements'!$A$2:$A$41,$A8,'Platform Requirements'!$D$2:$D$41,B$3)</f>
        <v>2</v>
      </c>
      <c r="C8" s="13">
        <f>COUNTIFS('Platform Requirements'!$A$2:$A$41,$A8,'Platform Requirements'!$D$2:$D$41,C$3)</f>
        <v>0</v>
      </c>
      <c r="D8" s="14">
        <f t="shared" si="0"/>
        <v>2</v>
      </c>
    </row>
    <row r="9" spans="1:4" x14ac:dyDescent="0.45">
      <c r="A9" s="12" t="s">
        <v>67</v>
      </c>
      <c r="B9" s="13">
        <f>COUNTIFS('Platform Requirements'!$A$2:$A$41,$A9,'Platform Requirements'!$D$2:$D$41,B$3)</f>
        <v>0</v>
      </c>
      <c r="C9" s="13">
        <f>COUNTIFS('Platform Requirements'!$A$2:$A$41,$A9,'Platform Requirements'!$D$2:$D$41,C$3)</f>
        <v>4</v>
      </c>
      <c r="D9" s="14">
        <f t="shared" si="0"/>
        <v>4</v>
      </c>
    </row>
    <row r="10" spans="1:4" x14ac:dyDescent="0.45">
      <c r="A10" s="12" t="s">
        <v>76</v>
      </c>
      <c r="B10" s="13">
        <f>COUNTIFS('Platform Requirements'!$A$2:$A$41,$A10,'Platform Requirements'!$D$2:$D$41,B$3)</f>
        <v>3</v>
      </c>
      <c r="C10" s="13">
        <f>COUNTIFS('Platform Requirements'!$A$2:$A$41,$A10,'Platform Requirements'!$D$2:$D$41,C$3)</f>
        <v>1</v>
      </c>
      <c r="D10" s="14">
        <f t="shared" si="0"/>
        <v>4</v>
      </c>
    </row>
    <row r="11" spans="1:4" x14ac:dyDescent="0.45">
      <c r="A11" s="12" t="s">
        <v>85</v>
      </c>
      <c r="B11" s="13">
        <f>COUNTIFS('Platform Requirements'!$A$2:$A$41,$A11,'Platform Requirements'!$D$2:$D$41,B$3)</f>
        <v>0</v>
      </c>
      <c r="C11" s="13">
        <f>COUNTIFS('Platform Requirements'!$A$2:$A$41,$A11,'Platform Requirements'!$D$2:$D$41,C$3)</f>
        <v>2</v>
      </c>
      <c r="D11" s="14">
        <f t="shared" si="0"/>
        <v>2</v>
      </c>
    </row>
    <row r="12" spans="1:4" x14ac:dyDescent="0.45">
      <c r="A12" s="12" t="s">
        <v>90</v>
      </c>
      <c r="B12" s="13">
        <f>COUNTIFS('Platform Requirements'!$A$2:$A$41,$A12,'Platform Requirements'!$D$2:$D$41,B$3)</f>
        <v>4</v>
      </c>
      <c r="C12" s="13">
        <f>COUNTIFS('Platform Requirements'!$A$2:$A$41,$A12,'Platform Requirements'!$D$2:$D$41,C$3)</f>
        <v>0</v>
      </c>
      <c r="D12" s="14">
        <f t="shared" si="0"/>
        <v>4</v>
      </c>
    </row>
    <row r="13" spans="1:4" x14ac:dyDescent="0.45">
      <c r="A13" s="15" t="s">
        <v>107</v>
      </c>
      <c r="B13" s="16">
        <f>SUM(B4:B12)</f>
        <v>21</v>
      </c>
      <c r="C13" s="16">
        <f>SUM(C4:C12)</f>
        <v>19</v>
      </c>
      <c r="D13" s="16">
        <f>SUM(D4:D12)</f>
        <v>40</v>
      </c>
    </row>
    <row r="16" spans="1:4" ht="18.75" x14ac:dyDescent="0.7">
      <c r="A16" s="3" t="s">
        <v>108</v>
      </c>
      <c r="B16" s="3" t="s">
        <v>109</v>
      </c>
    </row>
    <row r="17" spans="1:2" x14ac:dyDescent="0.45">
      <c r="A17" s="12" t="s">
        <v>110</v>
      </c>
      <c r="B17" s="13">
        <f>COUNTIF('Platform Requirements'!$E$2:$E$41,A17)</f>
        <v>21</v>
      </c>
    </row>
    <row r="18" spans="1:2" x14ac:dyDescent="0.45">
      <c r="A18" s="12" t="s">
        <v>111</v>
      </c>
      <c r="B18" s="13">
        <f>COUNTIF('Platform Requirements'!$E$2:$E$41,A18)</f>
        <v>19</v>
      </c>
    </row>
    <row r="19" spans="1:2" x14ac:dyDescent="0.45">
      <c r="A19" s="15" t="s">
        <v>107</v>
      </c>
      <c r="B19" s="16">
        <f>SUM(B17:B18)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5" customWidth="1"/>
    <col min="2" max="2" width="35" customWidth="1"/>
    <col min="3" max="3" width="75" customWidth="1"/>
    <col min="4" max="4" width="15" customWidth="1"/>
    <col min="5" max="5" width="14.19921875" customWidth="1"/>
  </cols>
  <sheetData>
    <row r="1" spans="1:5" ht="18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99</v>
      </c>
    </row>
    <row r="2" spans="1:5" ht="33" x14ac:dyDescent="0.6">
      <c r="A2" s="6" t="s">
        <v>4</v>
      </c>
      <c r="B2" s="6" t="s">
        <v>5</v>
      </c>
      <c r="C2" s="6" t="s">
        <v>6</v>
      </c>
      <c r="D2" s="9" t="s">
        <v>7</v>
      </c>
      <c r="E2" s="7" t="str">
        <f>IF($D2="Must-Have","MVP","Phase 2")</f>
        <v>MVP</v>
      </c>
    </row>
    <row r="3" spans="1:5" ht="33" x14ac:dyDescent="0.6">
      <c r="A3" s="8" t="s">
        <v>4</v>
      </c>
      <c r="B3" s="8" t="s">
        <v>8</v>
      </c>
      <c r="C3" s="8" t="s">
        <v>9</v>
      </c>
      <c r="D3" s="9" t="s">
        <v>7</v>
      </c>
      <c r="E3" s="7" t="str">
        <f t="shared" ref="E3:E41" si="0">IF($D3="Must-Have","MVP","Phase 2")</f>
        <v>MVP</v>
      </c>
    </row>
    <row r="4" spans="1:5" ht="33" x14ac:dyDescent="0.6">
      <c r="A4" s="6" t="s">
        <v>4</v>
      </c>
      <c r="B4" s="6" t="s">
        <v>10</v>
      </c>
      <c r="C4" s="6" t="s">
        <v>11</v>
      </c>
      <c r="D4" s="9" t="s">
        <v>7</v>
      </c>
      <c r="E4" s="7" t="str">
        <f t="shared" si="0"/>
        <v>MVP</v>
      </c>
    </row>
    <row r="5" spans="1:5" ht="33" x14ac:dyDescent="0.6">
      <c r="A5" s="8" t="s">
        <v>4</v>
      </c>
      <c r="B5" s="8" t="s">
        <v>12</v>
      </c>
      <c r="C5" s="8" t="s">
        <v>13</v>
      </c>
      <c r="D5" s="9" t="s">
        <v>7</v>
      </c>
      <c r="E5" s="7" t="str">
        <f t="shared" si="0"/>
        <v>MVP</v>
      </c>
    </row>
    <row r="6" spans="1:5" ht="33" x14ac:dyDescent="0.6">
      <c r="A6" s="6" t="s">
        <v>4</v>
      </c>
      <c r="B6" s="6" t="s">
        <v>14</v>
      </c>
      <c r="C6" s="6" t="s">
        <v>15</v>
      </c>
      <c r="D6" s="10" t="s">
        <v>16</v>
      </c>
      <c r="E6" s="7" t="str">
        <f t="shared" si="0"/>
        <v>Phase 2</v>
      </c>
    </row>
    <row r="7" spans="1:5" ht="33" x14ac:dyDescent="0.6">
      <c r="A7" s="8" t="s">
        <v>4</v>
      </c>
      <c r="B7" s="8" t="s">
        <v>17</v>
      </c>
      <c r="C7" s="8" t="s">
        <v>18</v>
      </c>
      <c r="D7" s="9" t="s">
        <v>7</v>
      </c>
      <c r="E7" s="7" t="str">
        <f t="shared" si="0"/>
        <v>MVP</v>
      </c>
    </row>
    <row r="8" spans="1:5" ht="33" x14ac:dyDescent="0.6">
      <c r="A8" s="6" t="s">
        <v>4</v>
      </c>
      <c r="B8" s="6" t="s">
        <v>19</v>
      </c>
      <c r="C8" s="6" t="s">
        <v>20</v>
      </c>
      <c r="D8" s="10" t="s">
        <v>16</v>
      </c>
      <c r="E8" s="7" t="str">
        <f t="shared" si="0"/>
        <v>Phase 2</v>
      </c>
    </row>
    <row r="9" spans="1:5" ht="33" x14ac:dyDescent="0.6">
      <c r="A9" s="8" t="s">
        <v>4</v>
      </c>
      <c r="B9" s="8" t="s">
        <v>51</v>
      </c>
      <c r="C9" s="8" t="s">
        <v>52</v>
      </c>
      <c r="D9" s="9" t="s">
        <v>7</v>
      </c>
      <c r="E9" s="7" t="str">
        <f t="shared" si="0"/>
        <v>MVP</v>
      </c>
    </row>
    <row r="10" spans="1:5" ht="33" x14ac:dyDescent="0.6">
      <c r="A10" s="6" t="s">
        <v>4</v>
      </c>
      <c r="B10" s="6" t="s">
        <v>53</v>
      </c>
      <c r="C10" s="6" t="s">
        <v>54</v>
      </c>
      <c r="D10" s="10" t="s">
        <v>16</v>
      </c>
      <c r="E10" s="7" t="str">
        <f t="shared" si="0"/>
        <v>Phase 2</v>
      </c>
    </row>
    <row r="11" spans="1:5" ht="33" x14ac:dyDescent="0.6">
      <c r="A11" s="8" t="s">
        <v>4</v>
      </c>
      <c r="B11" s="8" t="s">
        <v>55</v>
      </c>
      <c r="C11" s="8" t="s">
        <v>56</v>
      </c>
      <c r="D11" s="10" t="s">
        <v>16</v>
      </c>
      <c r="E11" s="7" t="str">
        <f t="shared" si="0"/>
        <v>Phase 2</v>
      </c>
    </row>
    <row r="12" spans="1:5" ht="16.5" x14ac:dyDescent="0.6">
      <c r="A12" s="6" t="s">
        <v>4</v>
      </c>
      <c r="B12" s="6" t="s">
        <v>57</v>
      </c>
      <c r="C12" s="6" t="s">
        <v>58</v>
      </c>
      <c r="D12" s="10" t="s">
        <v>16</v>
      </c>
      <c r="E12" s="7" t="str">
        <f t="shared" si="0"/>
        <v>Phase 2</v>
      </c>
    </row>
    <row r="13" spans="1:5" ht="33" x14ac:dyDescent="0.6">
      <c r="A13" s="8" t="s">
        <v>4</v>
      </c>
      <c r="B13" s="8" t="s">
        <v>59</v>
      </c>
      <c r="C13" s="8" t="s">
        <v>60</v>
      </c>
      <c r="D13" s="10" t="s">
        <v>16</v>
      </c>
      <c r="E13" s="7" t="str">
        <f t="shared" si="0"/>
        <v>Phase 2</v>
      </c>
    </row>
    <row r="14" spans="1:5" ht="33" x14ac:dyDescent="0.6">
      <c r="A14" s="6" t="s">
        <v>4</v>
      </c>
      <c r="B14" s="6" t="s">
        <v>61</v>
      </c>
      <c r="C14" s="6" t="s">
        <v>62</v>
      </c>
      <c r="D14" s="10" t="s">
        <v>16</v>
      </c>
      <c r="E14" s="7" t="str">
        <f t="shared" si="0"/>
        <v>Phase 2</v>
      </c>
    </row>
    <row r="15" spans="1:5" ht="33" x14ac:dyDescent="0.6">
      <c r="A15" s="8" t="s">
        <v>4</v>
      </c>
      <c r="B15" s="8" t="s">
        <v>63</v>
      </c>
      <c r="C15" s="8" t="s">
        <v>64</v>
      </c>
      <c r="D15" s="10" t="s">
        <v>16</v>
      </c>
      <c r="E15" s="7" t="str">
        <f t="shared" si="0"/>
        <v>Phase 2</v>
      </c>
    </row>
    <row r="16" spans="1:5" ht="16.5" x14ac:dyDescent="0.6">
      <c r="A16" s="6" t="s">
        <v>4</v>
      </c>
      <c r="B16" s="6" t="s">
        <v>65</v>
      </c>
      <c r="C16" s="6" t="s">
        <v>66</v>
      </c>
      <c r="D16" s="10" t="s">
        <v>16</v>
      </c>
      <c r="E16" s="7" t="str">
        <f t="shared" si="0"/>
        <v>Phase 2</v>
      </c>
    </row>
    <row r="17" spans="1:5" ht="33" x14ac:dyDescent="0.6">
      <c r="A17" s="8" t="s">
        <v>21</v>
      </c>
      <c r="B17" s="8" t="s">
        <v>22</v>
      </c>
      <c r="C17" s="8" t="s">
        <v>23</v>
      </c>
      <c r="D17" s="9" t="s">
        <v>7</v>
      </c>
      <c r="E17" s="7" t="str">
        <f t="shared" si="0"/>
        <v>MVP</v>
      </c>
    </row>
    <row r="18" spans="1:5" ht="33" x14ac:dyDescent="0.6">
      <c r="A18" s="6" t="s">
        <v>21</v>
      </c>
      <c r="B18" s="6" t="s">
        <v>24</v>
      </c>
      <c r="C18" s="6" t="s">
        <v>25</v>
      </c>
      <c r="D18" s="10" t="s">
        <v>16</v>
      </c>
      <c r="E18" s="7" t="str">
        <f t="shared" si="0"/>
        <v>Phase 2</v>
      </c>
    </row>
    <row r="19" spans="1:5" ht="16.5" x14ac:dyDescent="0.6">
      <c r="A19" s="8" t="s">
        <v>21</v>
      </c>
      <c r="B19" s="8" t="s">
        <v>26</v>
      </c>
      <c r="C19" s="8" t="s">
        <v>27</v>
      </c>
      <c r="D19" s="10" t="s">
        <v>16</v>
      </c>
      <c r="E19" s="7" t="str">
        <f t="shared" si="0"/>
        <v>Phase 2</v>
      </c>
    </row>
    <row r="20" spans="1:5" ht="33" x14ac:dyDescent="0.6">
      <c r="A20" s="6" t="s">
        <v>28</v>
      </c>
      <c r="B20" s="6" t="s">
        <v>29</v>
      </c>
      <c r="C20" s="6" t="s">
        <v>30</v>
      </c>
      <c r="D20" s="9" t="s">
        <v>7</v>
      </c>
      <c r="E20" s="7" t="str">
        <f t="shared" si="0"/>
        <v>MVP</v>
      </c>
    </row>
    <row r="21" spans="1:5" ht="33" x14ac:dyDescent="0.6">
      <c r="A21" s="8" t="s">
        <v>28</v>
      </c>
      <c r="B21" s="8" t="s">
        <v>31</v>
      </c>
      <c r="C21" s="8" t="s">
        <v>32</v>
      </c>
      <c r="D21" s="9" t="s">
        <v>7</v>
      </c>
      <c r="E21" s="7" t="str">
        <f t="shared" si="0"/>
        <v>MVP</v>
      </c>
    </row>
    <row r="22" spans="1:5" ht="33" x14ac:dyDescent="0.6">
      <c r="A22" s="6" t="s">
        <v>28</v>
      </c>
      <c r="B22" s="6" t="s">
        <v>33</v>
      </c>
      <c r="C22" s="6" t="s">
        <v>34</v>
      </c>
      <c r="D22" s="10" t="s">
        <v>16</v>
      </c>
      <c r="E22" s="7" t="str">
        <f t="shared" si="0"/>
        <v>Phase 2</v>
      </c>
    </row>
    <row r="23" spans="1:5" ht="33" x14ac:dyDescent="0.6">
      <c r="A23" s="8" t="s">
        <v>35</v>
      </c>
      <c r="B23" s="8" t="s">
        <v>36</v>
      </c>
      <c r="C23" s="8" t="s">
        <v>37</v>
      </c>
      <c r="D23" s="9" t="s">
        <v>7</v>
      </c>
      <c r="E23" s="7" t="str">
        <f t="shared" si="0"/>
        <v>MVP</v>
      </c>
    </row>
    <row r="24" spans="1:5" ht="16.5" x14ac:dyDescent="0.6">
      <c r="A24" s="6" t="s">
        <v>35</v>
      </c>
      <c r="B24" s="6" t="s">
        <v>38</v>
      </c>
      <c r="C24" s="6" t="s">
        <v>39</v>
      </c>
      <c r="D24" s="9" t="s">
        <v>7</v>
      </c>
      <c r="E24" s="7" t="str">
        <f t="shared" si="0"/>
        <v>MVP</v>
      </c>
    </row>
    <row r="25" spans="1:5" ht="16.5" x14ac:dyDescent="0.6">
      <c r="A25" s="8" t="s">
        <v>35</v>
      </c>
      <c r="B25" s="8" t="s">
        <v>40</v>
      </c>
      <c r="C25" s="8" t="s">
        <v>41</v>
      </c>
      <c r="D25" s="9" t="s">
        <v>7</v>
      </c>
      <c r="E25" s="7" t="str">
        <f t="shared" si="0"/>
        <v>MVP</v>
      </c>
    </row>
    <row r="26" spans="1:5" ht="33" x14ac:dyDescent="0.6">
      <c r="A26" s="6" t="s">
        <v>46</v>
      </c>
      <c r="B26" s="6" t="s">
        <v>47</v>
      </c>
      <c r="C26" s="6" t="s">
        <v>48</v>
      </c>
      <c r="D26" s="9" t="s">
        <v>7</v>
      </c>
      <c r="E26" s="7" t="str">
        <f t="shared" si="0"/>
        <v>MVP</v>
      </c>
    </row>
    <row r="27" spans="1:5" ht="33" x14ac:dyDescent="0.6">
      <c r="A27" s="8" t="s">
        <v>46</v>
      </c>
      <c r="B27" s="8" t="s">
        <v>49</v>
      </c>
      <c r="C27" s="8" t="s">
        <v>50</v>
      </c>
      <c r="D27" s="9" t="s">
        <v>7</v>
      </c>
      <c r="E27" s="7" t="str">
        <f t="shared" si="0"/>
        <v>MVP</v>
      </c>
    </row>
    <row r="28" spans="1:5" ht="33" x14ac:dyDescent="0.6">
      <c r="A28" s="6" t="s">
        <v>67</v>
      </c>
      <c r="B28" s="6" t="s">
        <v>68</v>
      </c>
      <c r="C28" s="6" t="s">
        <v>69</v>
      </c>
      <c r="D28" s="10" t="s">
        <v>16</v>
      </c>
      <c r="E28" s="7" t="str">
        <f t="shared" si="0"/>
        <v>Phase 2</v>
      </c>
    </row>
    <row r="29" spans="1:5" ht="33" x14ac:dyDescent="0.6">
      <c r="A29" s="8" t="s">
        <v>67</v>
      </c>
      <c r="B29" s="8" t="s">
        <v>70</v>
      </c>
      <c r="C29" s="8" t="s">
        <v>71</v>
      </c>
      <c r="D29" s="10" t="s">
        <v>16</v>
      </c>
      <c r="E29" s="7" t="str">
        <f t="shared" si="0"/>
        <v>Phase 2</v>
      </c>
    </row>
    <row r="30" spans="1:5" ht="33" x14ac:dyDescent="0.6">
      <c r="A30" s="6" t="s">
        <v>67</v>
      </c>
      <c r="B30" s="6" t="s">
        <v>72</v>
      </c>
      <c r="C30" s="6" t="s">
        <v>73</v>
      </c>
      <c r="D30" s="10" t="s">
        <v>16</v>
      </c>
      <c r="E30" s="7" t="str">
        <f t="shared" si="0"/>
        <v>Phase 2</v>
      </c>
    </row>
    <row r="31" spans="1:5" ht="33" x14ac:dyDescent="0.6">
      <c r="A31" s="8" t="s">
        <v>67</v>
      </c>
      <c r="B31" s="8" t="s">
        <v>74</v>
      </c>
      <c r="C31" s="8" t="s">
        <v>75</v>
      </c>
      <c r="D31" s="10" t="s">
        <v>16</v>
      </c>
      <c r="E31" s="7" t="str">
        <f t="shared" si="0"/>
        <v>Phase 2</v>
      </c>
    </row>
    <row r="32" spans="1:5" ht="33" x14ac:dyDescent="0.6">
      <c r="A32" s="6" t="s">
        <v>76</v>
      </c>
      <c r="B32" s="6" t="s">
        <v>77</v>
      </c>
      <c r="C32" s="6" t="s">
        <v>78</v>
      </c>
      <c r="D32" s="9" t="s">
        <v>7</v>
      </c>
      <c r="E32" s="7" t="str">
        <f t="shared" si="0"/>
        <v>MVP</v>
      </c>
    </row>
    <row r="33" spans="1:5" ht="33" x14ac:dyDescent="0.6">
      <c r="A33" s="8" t="s">
        <v>76</v>
      </c>
      <c r="B33" s="8" t="s">
        <v>79</v>
      </c>
      <c r="C33" s="8" t="s">
        <v>80</v>
      </c>
      <c r="D33" s="9" t="s">
        <v>7</v>
      </c>
      <c r="E33" s="7" t="str">
        <f t="shared" si="0"/>
        <v>MVP</v>
      </c>
    </row>
    <row r="34" spans="1:5" ht="33" x14ac:dyDescent="0.6">
      <c r="A34" s="6" t="s">
        <v>76</v>
      </c>
      <c r="B34" s="6" t="s">
        <v>81</v>
      </c>
      <c r="C34" s="6" t="s">
        <v>82</v>
      </c>
      <c r="D34" s="10" t="s">
        <v>16</v>
      </c>
      <c r="E34" s="7" t="str">
        <f t="shared" si="0"/>
        <v>Phase 2</v>
      </c>
    </row>
    <row r="35" spans="1:5" ht="16.5" x14ac:dyDescent="0.6">
      <c r="A35" s="8" t="s">
        <v>76</v>
      </c>
      <c r="B35" s="8" t="s">
        <v>83</v>
      </c>
      <c r="C35" s="8" t="s">
        <v>84</v>
      </c>
      <c r="D35" s="9" t="s">
        <v>7</v>
      </c>
      <c r="E35" s="7" t="str">
        <f t="shared" si="0"/>
        <v>MVP</v>
      </c>
    </row>
    <row r="36" spans="1:5" ht="33" x14ac:dyDescent="0.6">
      <c r="A36" s="6" t="s">
        <v>85</v>
      </c>
      <c r="B36" s="6" t="s">
        <v>86</v>
      </c>
      <c r="C36" s="6" t="s">
        <v>87</v>
      </c>
      <c r="D36" s="10" t="s">
        <v>16</v>
      </c>
      <c r="E36" s="7" t="str">
        <f t="shared" si="0"/>
        <v>Phase 2</v>
      </c>
    </row>
    <row r="37" spans="1:5" ht="33" x14ac:dyDescent="0.6">
      <c r="A37" s="8" t="s">
        <v>85</v>
      </c>
      <c r="B37" s="8" t="s">
        <v>88</v>
      </c>
      <c r="C37" s="8" t="s">
        <v>89</v>
      </c>
      <c r="D37" s="10" t="s">
        <v>16</v>
      </c>
      <c r="E37" s="7" t="str">
        <f t="shared" si="0"/>
        <v>Phase 2</v>
      </c>
    </row>
    <row r="38" spans="1:5" ht="33" x14ac:dyDescent="0.6">
      <c r="A38" s="6" t="s">
        <v>90</v>
      </c>
      <c r="B38" s="6" t="s">
        <v>91</v>
      </c>
      <c r="C38" s="6" t="s">
        <v>92</v>
      </c>
      <c r="D38" s="9" t="s">
        <v>7</v>
      </c>
      <c r="E38" s="7" t="str">
        <f t="shared" si="0"/>
        <v>MVP</v>
      </c>
    </row>
    <row r="39" spans="1:5" ht="33" x14ac:dyDescent="0.6">
      <c r="A39" s="8" t="s">
        <v>90</v>
      </c>
      <c r="B39" s="8" t="s">
        <v>93</v>
      </c>
      <c r="C39" s="8" t="s">
        <v>94</v>
      </c>
      <c r="D39" s="9" t="s">
        <v>7</v>
      </c>
      <c r="E39" s="7" t="str">
        <f t="shared" si="0"/>
        <v>MVP</v>
      </c>
    </row>
    <row r="40" spans="1:5" ht="33" x14ac:dyDescent="0.6">
      <c r="A40" s="6" t="s">
        <v>90</v>
      </c>
      <c r="B40" s="6" t="s">
        <v>95</v>
      </c>
      <c r="C40" s="6" t="s">
        <v>96</v>
      </c>
      <c r="D40" s="9" t="s">
        <v>7</v>
      </c>
      <c r="E40" s="7" t="str">
        <f t="shared" si="0"/>
        <v>MVP</v>
      </c>
    </row>
    <row r="41" spans="1:5" ht="33" x14ac:dyDescent="0.6">
      <c r="A41" s="8" t="s">
        <v>90</v>
      </c>
      <c r="B41" s="8" t="s">
        <v>97</v>
      </c>
      <c r="C41" s="8" t="s">
        <v>98</v>
      </c>
      <c r="D41" s="9" t="s">
        <v>7</v>
      </c>
      <c r="E41" s="7" t="str">
        <f t="shared" si="0"/>
        <v>MVP</v>
      </c>
    </row>
  </sheetData>
  <autoFilter ref="A1:E4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F3F3-A16F-46E3-A603-C4B9E425D849}">
  <dimension ref="A1:B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2" customWidth="1"/>
    <col min="2" max="2" width="53.33203125" customWidth="1"/>
    <col min="3" max="3" width="56.86328125" customWidth="1"/>
    <col min="4" max="4" width="17.796875" customWidth="1"/>
  </cols>
  <sheetData>
    <row r="1" spans="1:2" ht="18.75" x14ac:dyDescent="0.7">
      <c r="A1" s="3" t="s">
        <v>100</v>
      </c>
      <c r="B1" s="3" t="s">
        <v>101</v>
      </c>
    </row>
    <row r="2" spans="1:2" ht="16.5" x14ac:dyDescent="0.6">
      <c r="A2" s="4" t="s">
        <v>42</v>
      </c>
      <c r="B2" s="4" t="s">
        <v>102</v>
      </c>
    </row>
    <row r="3" spans="1:2" ht="16.5" x14ac:dyDescent="0.6">
      <c r="A3" s="5" t="s">
        <v>43</v>
      </c>
      <c r="B3" s="5" t="s">
        <v>103</v>
      </c>
    </row>
    <row r="4" spans="1:2" ht="16.5" x14ac:dyDescent="0.6">
      <c r="A4" s="4" t="s">
        <v>44</v>
      </c>
      <c r="B4" s="4" t="s">
        <v>104</v>
      </c>
    </row>
    <row r="5" spans="1:2" ht="16.5" x14ac:dyDescent="0.6">
      <c r="A5" s="5" t="s">
        <v>45</v>
      </c>
      <c r="B5" s="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Platform Requirements</vt:lpstr>
      <vt:lpstr>Branding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 Jatuphon</cp:lastModifiedBy>
  <dcterms:created xsi:type="dcterms:W3CDTF">2026-08-16T06:09:42Z</dcterms:created>
  <dcterms:modified xsi:type="dcterms:W3CDTF">2026-08-20T13:14:26Z</dcterms:modified>
</cp:coreProperties>
</file>